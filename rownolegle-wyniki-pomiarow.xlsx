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ymw\PR\"/>
    </mc:Choice>
  </mc:AlternateContent>
  <xr:revisionPtr revIDLastSave="0" documentId="13_ncr:1_{5500A2EE-C574-4B77-960E-75585968FC6C}" xr6:coauthVersionLast="47" xr6:coauthVersionMax="47" xr10:uidLastSave="{00000000-0000-0000-0000-000000000000}"/>
  <bookViews>
    <workbookView xWindow="-108" yWindow="-108" windowWidth="23256" windowHeight="12456" xr2:uid="{40903604-91D4-4237-828D-7F3042AEE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" l="1"/>
  <c r="V24" i="1"/>
  <c r="V23" i="1"/>
  <c r="V22" i="1"/>
  <c r="V21" i="1"/>
  <c r="V20" i="1"/>
  <c r="V19" i="1"/>
  <c r="V18" i="1"/>
  <c r="G25" i="1"/>
  <c r="G26" i="1"/>
  <c r="G24" i="1"/>
  <c r="N44" i="1"/>
  <c r="N37" i="1"/>
  <c r="N43" i="1"/>
  <c r="N42" i="1"/>
  <c r="N41" i="1"/>
  <c r="N40" i="1"/>
  <c r="N39" i="1"/>
  <c r="N38" i="1"/>
  <c r="N36" i="1"/>
  <c r="N35" i="1"/>
  <c r="N34" i="1"/>
  <c r="N33" i="1"/>
  <c r="N32" i="1"/>
  <c r="N31" i="1"/>
  <c r="N19" i="1"/>
  <c r="N20" i="1"/>
  <c r="N21" i="1"/>
  <c r="N22" i="1"/>
  <c r="N23" i="1"/>
  <c r="N24" i="1"/>
  <c r="N18" i="1"/>
  <c r="N10" i="1"/>
  <c r="N9" i="1"/>
  <c r="N8" i="1"/>
  <c r="N7" i="1"/>
  <c r="N6" i="1"/>
  <c r="N5" i="1"/>
  <c r="G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<sst xmlns="http://schemas.openxmlformats.org/spreadsheetml/2006/main" count="98" uniqueCount="52">
  <si>
    <t>m</t>
  </si>
  <si>
    <t>n</t>
  </si>
  <si>
    <t>t</t>
  </si>
  <si>
    <t>predkosc</t>
  </si>
  <si>
    <t>k1</t>
  </si>
  <si>
    <t>wariant</t>
  </si>
  <si>
    <t>k2</t>
  </si>
  <si>
    <t>k3</t>
  </si>
  <si>
    <t>k4</t>
  </si>
  <si>
    <t>k5 - blocksize=16</t>
  </si>
  <si>
    <t>k5 - blocksize=1024</t>
  </si>
  <si>
    <t>k5 - blocksize=2^20</t>
  </si>
  <si>
    <t>k3a - blocksize = 1000</t>
  </si>
  <si>
    <t>podział pracy</t>
  </si>
  <si>
    <t>k2 - default</t>
  </si>
  <si>
    <t>k2 -schedule(dynamic,1)</t>
  </si>
  <si>
    <t>k5  - blocksize=2^20</t>
  </si>
  <si>
    <t>k2 -schedule(dynamic,10)</t>
  </si>
  <si>
    <t>k2 -schedule(dynamic,100)</t>
  </si>
  <si>
    <t>k2-auto</t>
  </si>
  <si>
    <t>k2-guided</t>
  </si>
  <si>
    <t>k3a:</t>
  </si>
  <si>
    <t>potencjalne efektywne rozmiary bloku</t>
  </si>
  <si>
    <t>30kB</t>
  </si>
  <si>
    <t>komentarz</t>
  </si>
  <si>
    <t>rozmiar cache l1 to 32kb</t>
  </si>
  <si>
    <t>nieefektywne, dla porówniania</t>
  </si>
  <si>
    <t>32kB</t>
  </si>
  <si>
    <t>4kB</t>
  </si>
  <si>
    <t>rozmiar bufora l1 to 4kb</t>
  </si>
  <si>
    <t>2MB</t>
  </si>
  <si>
    <t>rozmiar cache l2 to 2MB</t>
  </si>
  <si>
    <t>12MB</t>
  </si>
  <si>
    <t>rozmiar cache l3 to 12MB</t>
  </si>
  <si>
    <t>k4 - default</t>
  </si>
  <si>
    <t>k4 -schedule(dynamic,1)</t>
  </si>
  <si>
    <t>k4 -schedule(dynamic,10)</t>
  </si>
  <si>
    <t>k4-auto</t>
  </si>
  <si>
    <t>k4-guided</t>
  </si>
  <si>
    <t>k4 -schedule(dynamic,100)</t>
  </si>
  <si>
    <t>k4a -schedule(dynamic,1)</t>
  </si>
  <si>
    <t>k4a -schedule(dynamic,10)</t>
  </si>
  <si>
    <t>k4a -schedule(dynamic,100)</t>
  </si>
  <si>
    <t>k4a-auto</t>
  </si>
  <si>
    <t>k4a-guided</t>
  </si>
  <si>
    <t>k4a - default</t>
  </si>
  <si>
    <t>k4-static</t>
  </si>
  <si>
    <t>k4a-static</t>
  </si>
  <si>
    <t>k4a</t>
  </si>
  <si>
    <t>k5:</t>
  </si>
  <si>
    <t>dla porównania z 32kB</t>
  </si>
  <si>
    <t>40kB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</si>
</sst>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44B3E1"/>
      </left>
      <right style="medium">
        <color rgb="FFCCCCCC"/>
      </right>
      <top style="medium">
        <color rgb="FF44B3E1"/>
      </top>
      <bottom/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EACFD-B70A-451D-82E5-29B6AA5C72D0}" name="Table1" displayName="Table1" ref="C3:G26" totalsRowShown="0">
  <autoFilter ref="C3:G26" xr:uid="{E20EACFD-B70A-451D-82E5-29B6AA5C72D0}"/>
  <tableColumns count="5">
    <tableColumn id="1" xr3:uid="{11F5672C-6059-44B8-9109-D686EFBC2164}" name="wariant"/>
    <tableColumn id="2" xr3:uid="{13CBBCE2-367F-463B-9A87-0A4B96D21BB0}" name="m"/>
    <tableColumn id="3" xr3:uid="{A65D4678-9090-48A2-AAEF-1780A846E5A0}" name="n"/>
    <tableColumn id="4" xr3:uid="{996F20CF-3BD3-4A15-ACA2-9C3361732869}" name="t"/>
    <tableColumn id="5" xr3:uid="{E5119F08-7932-43E2-970F-4630D4AC71A7}" name="predkosc">
      <calculatedColumnFormula>(E4-D4+1)/F4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52C0D0-AC86-4B77-9A77-671960642C27}" name="Table3" displayName="Table3" ref="J4:N10" totalsRowShown="0">
  <autoFilter ref="J4:N10" xr:uid="{BA52C0D0-AC86-4B77-9A77-671960642C27}"/>
  <tableColumns count="5">
    <tableColumn id="1" xr3:uid="{1BB5D97A-C562-42B1-9B1A-D80B374C5186}" name="podział pracy"/>
    <tableColumn id="2" xr3:uid="{35C9E694-A664-4E65-8F52-103EE759C1D5}" name="m"/>
    <tableColumn id="3" xr3:uid="{52F0C606-CD58-4EE2-9BF9-C19E08CED46B}" name="n"/>
    <tableColumn id="4" xr3:uid="{8E128A23-0878-4523-9B33-5727F23C68A8}" name="t"/>
    <tableColumn id="5" xr3:uid="{B4CC8128-F395-45CC-A306-DE07AB27EE45}" name="predkosc">
      <calculatedColumnFormula>(L5-K5+1)/M5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67825A-3AED-4399-87D6-19129C7954DF}" name="Table4" displayName="Table4" ref="J17:O26" totalsRowShown="0">
  <autoFilter ref="J17:O26" xr:uid="{5E67825A-3AED-4399-87D6-19129C7954DF}"/>
  <tableColumns count="6">
    <tableColumn id="1" xr3:uid="{42502BED-EEC5-44AC-A4D0-30CE0E80EF05}" name="potencjalne efektywne rozmiary bloku"/>
    <tableColumn id="2" xr3:uid="{B3EA8C7A-4452-4576-9FAA-C666AC6DE7A9}" name="m"/>
    <tableColumn id="3" xr3:uid="{06FEB801-2A2E-41C0-8F99-7C8578DDAFBE}" name="n"/>
    <tableColumn id="4" xr3:uid="{2CD27636-9024-493E-B353-3EDCC596B9A1}" name="t"/>
    <tableColumn id="5" xr3:uid="{7672667C-5D5A-486C-A0D7-305375B20B15}" name="predkosc">
      <calculatedColumnFormula>(L18-K18+1)/M18</calculatedColumnFormula>
    </tableColumn>
    <tableColumn id="6" xr3:uid="{4E062BB9-8CC3-44A1-9F25-84C5A4E3B619}" name="komentar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1CCC7-3989-4BCD-9C7D-73BA3AC5C974}" name="Table33" displayName="Table33" ref="J30:N44" totalsRowShown="0">
  <autoFilter ref="J30:N44" xr:uid="{CD01CCC7-3989-4BCD-9C7D-73BA3AC5C974}"/>
  <tableColumns count="5">
    <tableColumn id="1" xr3:uid="{D3C08E91-82E4-43D7-A5A5-CFF777B9EECC}" name="podział pracy"/>
    <tableColumn id="2" xr3:uid="{EB90BF30-1216-4A83-BAC7-83E03CDF8B90}" name="m"/>
    <tableColumn id="3" xr3:uid="{8D1E4D6D-8B2D-4D67-AF26-C76239E02849}" name="n"/>
    <tableColumn id="4" xr3:uid="{D0B8B312-1F45-4AA7-964C-D7506E5DFB2A}" name="t"/>
    <tableColumn id="5" xr3:uid="{471FE669-C28D-4452-ACAE-1F6BAD67A213}" name="predkosc">
      <calculatedColumnFormula>(L31-K31+1)/M31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1CA2F1-AC53-420E-AE3E-DADACCBCB193}" name="Table5" displayName="Table5" ref="R17:W25" totalsRowShown="0">
  <autoFilter ref="R17:W25" xr:uid="{EC1CA2F1-AC53-420E-AE3E-DADACCBCB193}"/>
  <tableColumns count="6">
    <tableColumn id="1" xr3:uid="{0E0A9C02-A007-4607-8857-B859657A993D}" name="potencjalne efektywne rozmiary bloku"/>
    <tableColumn id="2" xr3:uid="{06620D24-2D0C-4DFA-B7BF-A5AE0BF4FA49}" name="m"/>
    <tableColumn id="3" xr3:uid="{F58AAE58-D640-4A78-949A-9351B6B97941}" name="n"/>
    <tableColumn id="4" xr3:uid="{51B0C055-F8B6-46E6-A827-75534671497A}" name="t"/>
    <tableColumn id="5" xr3:uid="{AD8CF4DD-95C0-4FCC-AF59-C2D87E951486}" name="predkosc">
      <calculatedColumnFormula>(T18-S18+1)/U18</calculatedColumnFormula>
    </tableColumn>
    <tableColumn id="6" xr3:uid="{47FEE9B3-A82A-4715-A350-1BA4DFE69D1D}" name="komentar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049A-76FE-4D7A-8996-E11FB5F5D41C}">
  <dimension ref="C3:W44"/>
  <sheetViews>
    <sheetView tabSelected="1" topLeftCell="B12" workbookViewId="0">
      <selection activeCell="F27" sqref="F27"/>
    </sheetView>
  </sheetViews>
  <sheetFormatPr defaultRowHeight="14.4" x14ac:dyDescent="0.3"/>
  <cols>
    <col min="3" max="3" width="17.88671875" customWidth="1"/>
    <col min="5" max="5" width="10" customWidth="1"/>
    <col min="7" max="7" width="15.109375" customWidth="1"/>
    <col min="10" max="10" width="36" customWidth="1"/>
    <col min="11" max="11" width="26.6640625" customWidth="1"/>
    <col min="12" max="12" width="17.77734375" customWidth="1"/>
    <col min="14" max="14" width="17.21875" customWidth="1"/>
    <col min="15" max="15" width="29.6640625" customWidth="1"/>
    <col min="18" max="18" width="34.21875" customWidth="1"/>
    <col min="22" max="22" width="10.6640625" customWidth="1"/>
    <col min="23" max="23" width="34" customWidth="1"/>
  </cols>
  <sheetData>
    <row r="3" spans="3:18" x14ac:dyDescent="0.3">
      <c r="C3" t="s">
        <v>5</v>
      </c>
      <c r="D3" t="s">
        <v>0</v>
      </c>
      <c r="E3" t="s">
        <v>1</v>
      </c>
      <c r="F3" t="s">
        <v>2</v>
      </c>
      <c r="G3" t="s">
        <v>3</v>
      </c>
    </row>
    <row r="4" spans="3:18" x14ac:dyDescent="0.3">
      <c r="C4" t="s">
        <v>4</v>
      </c>
      <c r="D4">
        <v>2</v>
      </c>
      <c r="E4">
        <v>100000000</v>
      </c>
      <c r="F4">
        <v>32.384</v>
      </c>
      <c r="G4">
        <f>(E4-D4+1)/F4</f>
        <v>3087944.6331521738</v>
      </c>
      <c r="J4" t="s">
        <v>13</v>
      </c>
      <c r="K4" t="s">
        <v>0</v>
      </c>
      <c r="L4" t="s">
        <v>1</v>
      </c>
      <c r="M4" t="s">
        <v>2</v>
      </c>
      <c r="N4" t="s">
        <v>3</v>
      </c>
    </row>
    <row r="5" spans="3:18" x14ac:dyDescent="0.3">
      <c r="C5" t="s">
        <v>6</v>
      </c>
      <c r="D5">
        <v>2</v>
      </c>
      <c r="E5">
        <v>100000000</v>
      </c>
      <c r="F5">
        <v>9.3520000000000003</v>
      </c>
      <c r="G5">
        <f t="shared" ref="G5:G11" si="0">(E5-D5+1)/F5</f>
        <v>10692899.807527801</v>
      </c>
      <c r="J5" t="s">
        <v>14</v>
      </c>
      <c r="K5">
        <v>2</v>
      </c>
      <c r="L5">
        <v>100000000</v>
      </c>
      <c r="M5">
        <v>7.9160000000000004</v>
      </c>
      <c r="N5">
        <f t="shared" ref="N5:N10" si="1">(L5-K5+1)/M5</f>
        <v>12632642.622536633</v>
      </c>
    </row>
    <row r="6" spans="3:18" x14ac:dyDescent="0.3">
      <c r="C6" t="s">
        <v>7</v>
      </c>
      <c r="D6">
        <v>2</v>
      </c>
      <c r="E6">
        <v>100000000</v>
      </c>
      <c r="F6">
        <v>0.72799999999999998</v>
      </c>
      <c r="G6">
        <f t="shared" si="0"/>
        <v>137362635.98901099</v>
      </c>
      <c r="J6" t="s">
        <v>15</v>
      </c>
      <c r="K6">
        <v>2</v>
      </c>
      <c r="L6">
        <v>100000000</v>
      </c>
      <c r="M6">
        <v>6.3869999999999996</v>
      </c>
      <c r="N6">
        <f t="shared" si="1"/>
        <v>15656802.724283703</v>
      </c>
    </row>
    <row r="7" spans="3:18" x14ac:dyDescent="0.3">
      <c r="C7" t="s">
        <v>8</v>
      </c>
      <c r="D7">
        <v>2</v>
      </c>
      <c r="E7">
        <v>100000000</v>
      </c>
      <c r="F7">
        <v>0.68200000000000005</v>
      </c>
      <c r="G7">
        <f t="shared" si="0"/>
        <v>146627564.51612902</v>
      </c>
      <c r="J7" t="s">
        <v>17</v>
      </c>
      <c r="K7">
        <v>2</v>
      </c>
      <c r="L7">
        <v>100000000</v>
      </c>
      <c r="M7">
        <v>5.3259999999999996</v>
      </c>
      <c r="N7">
        <f t="shared" si="1"/>
        <v>18775816.560270373</v>
      </c>
    </row>
    <row r="8" spans="3:18" x14ac:dyDescent="0.3">
      <c r="C8" t="s">
        <v>9</v>
      </c>
      <c r="D8">
        <v>2</v>
      </c>
      <c r="E8">
        <v>100000000</v>
      </c>
      <c r="F8">
        <v>14.343</v>
      </c>
      <c r="G8">
        <f t="shared" si="0"/>
        <v>6972042.0414139302</v>
      </c>
      <c r="J8" t="s">
        <v>18</v>
      </c>
      <c r="K8">
        <v>2</v>
      </c>
      <c r="L8">
        <v>100000000</v>
      </c>
      <c r="M8">
        <v>5.3460000000000001</v>
      </c>
      <c r="N8">
        <f t="shared" si="1"/>
        <v>18705574.074074075</v>
      </c>
    </row>
    <row r="9" spans="3:18" ht="15" thickBot="1" x14ac:dyDescent="0.35">
      <c r="C9" t="s">
        <v>10</v>
      </c>
      <c r="D9">
        <v>2</v>
      </c>
      <c r="E9">
        <v>100000000</v>
      </c>
      <c r="F9">
        <v>0.504</v>
      </c>
      <c r="G9">
        <f t="shared" si="0"/>
        <v>198412696.42857143</v>
      </c>
      <c r="J9" t="s">
        <v>19</v>
      </c>
      <c r="K9">
        <v>2</v>
      </c>
      <c r="L9">
        <v>100000000</v>
      </c>
      <c r="M9">
        <v>7.9269999999999996</v>
      </c>
      <c r="N9">
        <f t="shared" si="1"/>
        <v>12615112.779109374</v>
      </c>
    </row>
    <row r="10" spans="3:18" ht="28.8" thickBot="1" x14ac:dyDescent="0.35">
      <c r="C10" s="1" t="s">
        <v>11</v>
      </c>
      <c r="D10" s="2">
        <v>2</v>
      </c>
      <c r="E10" s="2">
        <v>100000000</v>
      </c>
      <c r="F10" s="3">
        <v>0.30299999999999999</v>
      </c>
      <c r="G10">
        <f t="shared" si="0"/>
        <v>330033000</v>
      </c>
      <c r="J10" t="s">
        <v>20</v>
      </c>
      <c r="K10">
        <v>2</v>
      </c>
      <c r="L10">
        <v>100000000</v>
      </c>
      <c r="M10">
        <v>5.3570000000000002</v>
      </c>
      <c r="N10">
        <f t="shared" si="1"/>
        <v>18667164.271047227</v>
      </c>
    </row>
    <row r="11" spans="3:18" ht="15" thickBot="1" x14ac:dyDescent="0.35">
      <c r="C11" t="s">
        <v>12</v>
      </c>
      <c r="D11">
        <v>2</v>
      </c>
      <c r="E11" s="2">
        <v>100000000</v>
      </c>
      <c r="F11">
        <v>0.75800000000000001</v>
      </c>
      <c r="G11">
        <f t="shared" si="0"/>
        <v>131926120.05277045</v>
      </c>
    </row>
    <row r="12" spans="3:18" ht="15" thickBot="1" x14ac:dyDescent="0.35">
      <c r="C12" t="s">
        <v>4</v>
      </c>
      <c r="D12">
        <v>50000000</v>
      </c>
      <c r="E12" s="2">
        <v>100000000</v>
      </c>
      <c r="F12">
        <v>27.643999999999998</v>
      </c>
      <c r="G12">
        <f t="shared" ref="G12:G23" si="2">(E12-D12+1)/F12</f>
        <v>1808710.787150919</v>
      </c>
    </row>
    <row r="13" spans="3:18" ht="15" thickBot="1" x14ac:dyDescent="0.35">
      <c r="C13" t="s">
        <v>6</v>
      </c>
      <c r="D13">
        <v>50000000</v>
      </c>
      <c r="E13" s="2">
        <v>100000000</v>
      </c>
      <c r="F13">
        <v>4.9169999999999998</v>
      </c>
      <c r="G13">
        <f t="shared" si="2"/>
        <v>10168802.318486882</v>
      </c>
    </row>
    <row r="14" spans="3:18" ht="15" thickBot="1" x14ac:dyDescent="0.35">
      <c r="C14" t="s">
        <v>7</v>
      </c>
      <c r="D14">
        <v>50000000</v>
      </c>
      <c r="E14" s="2">
        <v>100000000</v>
      </c>
      <c r="F14">
        <v>0.34599999999999997</v>
      </c>
      <c r="G14">
        <f t="shared" si="2"/>
        <v>144508673.41040462</v>
      </c>
    </row>
    <row r="15" spans="3:18" ht="15" thickBot="1" x14ac:dyDescent="0.35">
      <c r="C15" t="s">
        <v>8</v>
      </c>
      <c r="D15">
        <v>50000000</v>
      </c>
      <c r="E15" s="2">
        <v>100000000</v>
      </c>
      <c r="F15">
        <v>0.29499999999999998</v>
      </c>
      <c r="G15">
        <f t="shared" si="2"/>
        <v>169491528.81355932</v>
      </c>
    </row>
    <row r="16" spans="3:18" ht="15" thickBot="1" x14ac:dyDescent="0.35">
      <c r="C16" t="s">
        <v>16</v>
      </c>
      <c r="D16">
        <v>50000000</v>
      </c>
      <c r="E16" s="2">
        <v>100000000</v>
      </c>
      <c r="F16">
        <v>0.16900000000000001</v>
      </c>
      <c r="G16">
        <f t="shared" si="2"/>
        <v>295857994.0828402</v>
      </c>
      <c r="J16" t="s">
        <v>21</v>
      </c>
      <c r="R16" t="s">
        <v>49</v>
      </c>
    </row>
    <row r="17" spans="3:23" x14ac:dyDescent="0.3">
      <c r="C17" t="s">
        <v>12</v>
      </c>
      <c r="D17">
        <v>50000000</v>
      </c>
      <c r="E17" s="2">
        <v>100000000</v>
      </c>
      <c r="F17">
        <v>0.36</v>
      </c>
      <c r="G17">
        <f t="shared" si="2"/>
        <v>138888891.66666669</v>
      </c>
      <c r="J17" t="s">
        <v>22</v>
      </c>
      <c r="K17" t="s">
        <v>0</v>
      </c>
      <c r="L17" t="s">
        <v>1</v>
      </c>
      <c r="M17" t="s">
        <v>2</v>
      </c>
      <c r="N17" t="s">
        <v>3</v>
      </c>
      <c r="O17" t="s">
        <v>24</v>
      </c>
      <c r="R17" t="s">
        <v>22</v>
      </c>
      <c r="S17" t="s">
        <v>0</v>
      </c>
      <c r="T17" t="s">
        <v>1</v>
      </c>
      <c r="U17" t="s">
        <v>2</v>
      </c>
      <c r="V17" t="s">
        <v>3</v>
      </c>
      <c r="W17" t="s">
        <v>24</v>
      </c>
    </row>
    <row r="18" spans="3:23" x14ac:dyDescent="0.3">
      <c r="C18" t="s">
        <v>4</v>
      </c>
      <c r="D18">
        <v>2</v>
      </c>
      <c r="E18">
        <v>50000000</v>
      </c>
      <c r="F18">
        <v>10.208</v>
      </c>
      <c r="G18">
        <f t="shared" si="2"/>
        <v>4898119.0242946707</v>
      </c>
      <c r="J18" t="s">
        <v>23</v>
      </c>
      <c r="K18">
        <v>2</v>
      </c>
      <c r="L18">
        <v>10000000</v>
      </c>
      <c r="M18">
        <v>0.7</v>
      </c>
      <c r="N18">
        <f>(L18-K18+1)/M18</f>
        <v>14285712.857142858</v>
      </c>
      <c r="O18" t="s">
        <v>25</v>
      </c>
      <c r="R18" t="s">
        <v>23</v>
      </c>
      <c r="S18">
        <v>2</v>
      </c>
      <c r="T18">
        <v>10000000</v>
      </c>
      <c r="U18">
        <v>0.12</v>
      </c>
      <c r="V18">
        <f>(T18-S18+1)/U18</f>
        <v>83333325</v>
      </c>
      <c r="W18" t="s">
        <v>25</v>
      </c>
    </row>
    <row r="19" spans="3:23" x14ac:dyDescent="0.3">
      <c r="C19" t="s">
        <v>6</v>
      </c>
      <c r="D19">
        <v>2</v>
      </c>
      <c r="E19">
        <v>50000000</v>
      </c>
      <c r="F19">
        <v>3.3479999999999999</v>
      </c>
      <c r="G19">
        <f t="shared" si="2"/>
        <v>14934288.829151733</v>
      </c>
      <c r="J19">
        <v>1000</v>
      </c>
      <c r="K19">
        <v>2</v>
      </c>
      <c r="L19">
        <v>10000000</v>
      </c>
      <c r="M19">
        <v>0.71</v>
      </c>
      <c r="N19">
        <f t="shared" ref="N19:N24" si="3">(L19-K19+1)/M19</f>
        <v>14084505.633802818</v>
      </c>
      <c r="O19" t="s">
        <v>26</v>
      </c>
      <c r="R19">
        <v>1024</v>
      </c>
      <c r="S19">
        <v>2</v>
      </c>
      <c r="T19">
        <v>10000000</v>
      </c>
      <c r="U19">
        <v>0.66900000000000004</v>
      </c>
      <c r="V19">
        <f t="shared" ref="V19:V24" si="4">(T19-S19+1)/U19</f>
        <v>14947681.614349775</v>
      </c>
      <c r="W19" t="s">
        <v>26</v>
      </c>
    </row>
    <row r="20" spans="3:23" x14ac:dyDescent="0.3">
      <c r="C20" t="s">
        <v>7</v>
      </c>
      <c r="D20">
        <v>2</v>
      </c>
      <c r="E20">
        <v>50000000</v>
      </c>
      <c r="F20">
        <v>0.33900000000000002</v>
      </c>
      <c r="G20">
        <f t="shared" si="2"/>
        <v>147492622.41887903</v>
      </c>
      <c r="J20">
        <v>10</v>
      </c>
      <c r="K20">
        <v>2</v>
      </c>
      <c r="L20">
        <v>10000000</v>
      </c>
      <c r="M20">
        <v>18.25</v>
      </c>
      <c r="N20">
        <f t="shared" si="3"/>
        <v>547945.15068493155</v>
      </c>
      <c r="O20" t="s">
        <v>26</v>
      </c>
      <c r="R20">
        <v>16</v>
      </c>
      <c r="S20">
        <v>2</v>
      </c>
      <c r="T20">
        <v>10000000</v>
      </c>
      <c r="U20">
        <v>15.878</v>
      </c>
      <c r="V20">
        <f t="shared" si="4"/>
        <v>629802.1791157577</v>
      </c>
      <c r="W20" t="s">
        <v>26</v>
      </c>
    </row>
    <row r="21" spans="3:23" x14ac:dyDescent="0.3">
      <c r="C21" t="s">
        <v>8</v>
      </c>
      <c r="D21">
        <v>2</v>
      </c>
      <c r="E21">
        <v>50000000</v>
      </c>
      <c r="F21">
        <v>0.34899999999999998</v>
      </c>
      <c r="G21">
        <f t="shared" si="2"/>
        <v>143266472.77936962</v>
      </c>
      <c r="J21" t="s">
        <v>27</v>
      </c>
      <c r="K21">
        <v>2</v>
      </c>
      <c r="L21">
        <v>10000000</v>
      </c>
      <c r="M21">
        <v>0.75900000000000001</v>
      </c>
      <c r="N21">
        <f t="shared" si="3"/>
        <v>13175229.249011857</v>
      </c>
      <c r="O21" t="s">
        <v>25</v>
      </c>
      <c r="R21" t="s">
        <v>27</v>
      </c>
      <c r="S21">
        <v>2</v>
      </c>
      <c r="T21">
        <v>10000000</v>
      </c>
      <c r="U21">
        <v>0.111</v>
      </c>
      <c r="V21">
        <f t="shared" si="4"/>
        <v>90090081.081081077</v>
      </c>
      <c r="W21" t="s">
        <v>25</v>
      </c>
    </row>
    <row r="22" spans="3:23" x14ac:dyDescent="0.3">
      <c r="C22" t="s">
        <v>16</v>
      </c>
      <c r="D22">
        <v>2</v>
      </c>
      <c r="E22">
        <v>50000000</v>
      </c>
      <c r="F22">
        <v>0.16200000000000001</v>
      </c>
      <c r="G22">
        <f t="shared" si="2"/>
        <v>308641969.13580245</v>
      </c>
      <c r="J22" t="s">
        <v>28</v>
      </c>
      <c r="K22">
        <v>2</v>
      </c>
      <c r="L22">
        <v>10000000</v>
      </c>
      <c r="M22">
        <v>0.70499999999999996</v>
      </c>
      <c r="N22">
        <f t="shared" si="3"/>
        <v>14184395.744680852</v>
      </c>
      <c r="O22" t="s">
        <v>29</v>
      </c>
      <c r="R22" t="s">
        <v>28</v>
      </c>
      <c r="S22">
        <v>2</v>
      </c>
      <c r="T22">
        <v>10000000</v>
      </c>
      <c r="U22">
        <v>0.27800000000000002</v>
      </c>
      <c r="V22">
        <f t="shared" si="4"/>
        <v>35971219.424460426</v>
      </c>
      <c r="W22" t="s">
        <v>29</v>
      </c>
    </row>
    <row r="23" spans="3:23" x14ac:dyDescent="0.3">
      <c r="C23" t="s">
        <v>12</v>
      </c>
      <c r="D23">
        <v>2</v>
      </c>
      <c r="E23">
        <v>50000000</v>
      </c>
      <c r="F23">
        <v>0.33600000000000002</v>
      </c>
      <c r="G23">
        <f t="shared" si="2"/>
        <v>148809520.83333331</v>
      </c>
      <c r="J23" t="s">
        <v>30</v>
      </c>
      <c r="K23">
        <v>2</v>
      </c>
      <c r="L23">
        <v>10000000</v>
      </c>
      <c r="M23">
        <v>0.66100000000000003</v>
      </c>
      <c r="N23">
        <f t="shared" si="3"/>
        <v>15128591.527987896</v>
      </c>
      <c r="O23" t="s">
        <v>31</v>
      </c>
      <c r="R23" t="s">
        <v>30</v>
      </c>
      <c r="S23">
        <v>2</v>
      </c>
      <c r="T23">
        <v>10000000</v>
      </c>
      <c r="U23">
        <v>0.58899999999999997</v>
      </c>
      <c r="V23">
        <f t="shared" si="4"/>
        <v>16977926.994906623</v>
      </c>
      <c r="W23" t="s">
        <v>31</v>
      </c>
    </row>
    <row r="24" spans="3:23" x14ac:dyDescent="0.3">
      <c r="C24" t="s">
        <v>48</v>
      </c>
      <c r="D24">
        <v>2</v>
      </c>
      <c r="E24">
        <v>100000000</v>
      </c>
      <c r="F24">
        <v>0.69899999999999995</v>
      </c>
      <c r="G24">
        <f>(E24-D24+1)/F24</f>
        <v>143061515.02145922</v>
      </c>
      <c r="J24" t="s">
        <v>32</v>
      </c>
      <c r="K24">
        <v>2</v>
      </c>
      <c r="L24">
        <v>10000000</v>
      </c>
      <c r="M24">
        <v>0.71199999999999997</v>
      </c>
      <c r="N24">
        <f t="shared" si="3"/>
        <v>14044942.415730339</v>
      </c>
      <c r="O24" t="s">
        <v>33</v>
      </c>
      <c r="R24" t="s">
        <v>32</v>
      </c>
      <c r="S24">
        <v>2</v>
      </c>
      <c r="T24">
        <v>10000000</v>
      </c>
      <c r="U24">
        <v>2.2330000000000001</v>
      </c>
      <c r="V24">
        <f t="shared" si="4"/>
        <v>4478279.8925212715</v>
      </c>
      <c r="W24" t="s">
        <v>33</v>
      </c>
    </row>
    <row r="25" spans="3:23" x14ac:dyDescent="0.3">
      <c r="C25" t="s">
        <v>48</v>
      </c>
      <c r="D25">
        <v>2</v>
      </c>
      <c r="E25">
        <v>50000000</v>
      </c>
      <c r="F25">
        <v>0.28499999999999998</v>
      </c>
      <c r="G25">
        <f t="shared" ref="G25:G26" si="5">(E25-D25+1)/F25</f>
        <v>175438592.98245615</v>
      </c>
      <c r="R25" t="s">
        <v>51</v>
      </c>
      <c r="S25">
        <v>2</v>
      </c>
      <c r="T25">
        <v>10000000</v>
      </c>
      <c r="U25">
        <v>0.16300000000000001</v>
      </c>
      <c r="V25">
        <f t="shared" ref="V25" si="6">(T25-S25+1)/U25</f>
        <v>61349687.116564415</v>
      </c>
      <c r="W25" t="s">
        <v>50</v>
      </c>
    </row>
    <row r="26" spans="3:23" x14ac:dyDescent="0.3">
      <c r="C26" t="s">
        <v>48</v>
      </c>
      <c r="D26">
        <v>50000000</v>
      </c>
      <c r="E26">
        <v>100000000</v>
      </c>
      <c r="F26">
        <v>0.377</v>
      </c>
      <c r="G26">
        <f t="shared" si="5"/>
        <v>132625997.3474801</v>
      </c>
    </row>
    <row r="30" spans="3:23" x14ac:dyDescent="0.3">
      <c r="J30" t="s">
        <v>13</v>
      </c>
      <c r="K30" t="s">
        <v>0</v>
      </c>
      <c r="L30" t="s">
        <v>1</v>
      </c>
      <c r="M30" t="s">
        <v>2</v>
      </c>
      <c r="N30" t="s">
        <v>3</v>
      </c>
    </row>
    <row r="31" spans="3:23" x14ac:dyDescent="0.3">
      <c r="J31" t="s">
        <v>34</v>
      </c>
      <c r="K31">
        <v>2</v>
      </c>
      <c r="L31">
        <v>100000000</v>
      </c>
      <c r="M31">
        <v>0.63900000000000001</v>
      </c>
      <c r="N31">
        <f t="shared" ref="N31:N37" si="7">(L31-K31+1)/M31</f>
        <v>156494521.12676057</v>
      </c>
    </row>
    <row r="32" spans="3:23" x14ac:dyDescent="0.3">
      <c r="J32" t="s">
        <v>35</v>
      </c>
      <c r="K32">
        <v>2</v>
      </c>
      <c r="L32">
        <v>100000000</v>
      </c>
      <c r="M32">
        <v>0.33</v>
      </c>
      <c r="N32">
        <f t="shared" si="7"/>
        <v>303030300</v>
      </c>
    </row>
    <row r="33" spans="10:14" x14ac:dyDescent="0.3">
      <c r="J33" t="s">
        <v>36</v>
      </c>
      <c r="K33">
        <v>2</v>
      </c>
      <c r="L33">
        <v>100000000</v>
      </c>
      <c r="M33">
        <v>0.42599999999999999</v>
      </c>
      <c r="N33">
        <f t="shared" si="7"/>
        <v>234741781.69014084</v>
      </c>
    </row>
    <row r="34" spans="10:14" x14ac:dyDescent="0.3">
      <c r="J34" t="s">
        <v>39</v>
      </c>
      <c r="K34">
        <v>2</v>
      </c>
      <c r="L34">
        <v>100000000</v>
      </c>
      <c r="M34">
        <v>0.51300000000000001</v>
      </c>
      <c r="N34">
        <f t="shared" si="7"/>
        <v>194931771.92982456</v>
      </c>
    </row>
    <row r="35" spans="10:14" x14ac:dyDescent="0.3">
      <c r="J35" t="s">
        <v>37</v>
      </c>
      <c r="K35">
        <v>2</v>
      </c>
      <c r="L35">
        <v>100000000</v>
      </c>
      <c r="M35">
        <v>0.626</v>
      </c>
      <c r="N35">
        <f t="shared" si="7"/>
        <v>159744407.34824282</v>
      </c>
    </row>
    <row r="36" spans="10:14" x14ac:dyDescent="0.3">
      <c r="J36" t="s">
        <v>38</v>
      </c>
      <c r="K36">
        <v>2</v>
      </c>
      <c r="L36">
        <v>100000000</v>
      </c>
      <c r="M36">
        <v>0.67500000000000004</v>
      </c>
      <c r="N36">
        <f t="shared" si="7"/>
        <v>148148146.66666666</v>
      </c>
    </row>
    <row r="37" spans="10:14" x14ac:dyDescent="0.3">
      <c r="J37" t="s">
        <v>46</v>
      </c>
      <c r="K37">
        <v>2</v>
      </c>
      <c r="L37">
        <v>100000000</v>
      </c>
      <c r="M37">
        <v>0.626</v>
      </c>
      <c r="N37">
        <f t="shared" si="7"/>
        <v>159744407.34824282</v>
      </c>
    </row>
    <row r="38" spans="10:14" x14ac:dyDescent="0.3">
      <c r="J38" t="s">
        <v>45</v>
      </c>
      <c r="K38">
        <v>2</v>
      </c>
      <c r="L38">
        <v>100000000</v>
      </c>
      <c r="M38">
        <v>0.69699999999999995</v>
      </c>
      <c r="N38">
        <f t="shared" ref="N38:N43" si="8">(L38-K38+1)/M38</f>
        <v>143472021.52080345</v>
      </c>
    </row>
    <row r="39" spans="10:14" x14ac:dyDescent="0.3">
      <c r="J39" t="s">
        <v>40</v>
      </c>
      <c r="K39">
        <v>2</v>
      </c>
      <c r="L39">
        <v>100000000</v>
      </c>
      <c r="M39">
        <v>0.219</v>
      </c>
      <c r="N39">
        <f t="shared" si="8"/>
        <v>456621000</v>
      </c>
    </row>
    <row r="40" spans="10:14" x14ac:dyDescent="0.3">
      <c r="J40" t="s">
        <v>41</v>
      </c>
      <c r="K40">
        <v>2</v>
      </c>
      <c r="L40">
        <v>100000000</v>
      </c>
      <c r="M40">
        <v>0.42299999999999999</v>
      </c>
      <c r="N40">
        <f>(L40-K40+1)/M40</f>
        <v>236406617.02127659</v>
      </c>
    </row>
    <row r="41" spans="10:14" x14ac:dyDescent="0.3">
      <c r="J41" t="s">
        <v>42</v>
      </c>
      <c r="K41">
        <v>2</v>
      </c>
      <c r="L41">
        <v>100000000</v>
      </c>
      <c r="M41">
        <v>0.58499999999999996</v>
      </c>
      <c r="N41">
        <f>(L41-K41+1)/M41</f>
        <v>170940169.23076925</v>
      </c>
    </row>
    <row r="42" spans="10:14" x14ac:dyDescent="0.3">
      <c r="J42" t="s">
        <v>43</v>
      </c>
      <c r="K42">
        <v>2</v>
      </c>
      <c r="L42">
        <v>100000000</v>
      </c>
      <c r="M42">
        <v>0.65</v>
      </c>
      <c r="N42">
        <f t="shared" si="8"/>
        <v>153846152.30769229</v>
      </c>
    </row>
    <row r="43" spans="10:14" x14ac:dyDescent="0.3">
      <c r="J43" t="s">
        <v>44</v>
      </c>
      <c r="K43">
        <v>2</v>
      </c>
      <c r="L43">
        <v>100000000</v>
      </c>
      <c r="M43">
        <v>0.67700000000000005</v>
      </c>
      <c r="N43">
        <f t="shared" si="8"/>
        <v>147710485.9675037</v>
      </c>
    </row>
    <row r="44" spans="10:14" x14ac:dyDescent="0.3">
      <c r="J44" t="s">
        <v>47</v>
      </c>
      <c r="K44">
        <v>2</v>
      </c>
      <c r="L44">
        <v>100000000</v>
      </c>
      <c r="M44">
        <v>0.67200000000000004</v>
      </c>
      <c r="N44">
        <f>(L44-K44+1)/M44</f>
        <v>148809522.32142857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Wójtowicz</dc:creator>
  <cp:lastModifiedBy>Szymon Wójtowicz</cp:lastModifiedBy>
  <dcterms:created xsi:type="dcterms:W3CDTF">2026-04-16T17:55:33Z</dcterms:created>
  <dcterms:modified xsi:type="dcterms:W3CDTF">2026-04-24T12:49:32Z</dcterms:modified>
</cp:coreProperties>
</file>